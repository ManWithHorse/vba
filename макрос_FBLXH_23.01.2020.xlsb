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slicerCaches/slicerCache27.bin" ContentType="application/vnd.ms-excel.slicerCache"/>
  <Override PartName="/xl/slicerCaches/slicerCache28.bin" ContentType="application/vnd.ms-excel.slicerCache"/>
  <Override PartName="/xl/slicerCaches/slicerCache29.bin" ContentType="application/vnd.ms-excel.slicerCache"/>
  <Override PartName="/xl/slicerCaches/slicerCache30.bin" ContentType="application/vnd.ms-excel.slicerCache"/>
  <Override PartName="/xl/slicerCaches/slicerCache3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drawings/drawing4.xml" ContentType="application/vnd.openxmlformats-officedocument.drawing+xml"/>
  <Override PartName="/xl/comments1.bin" ContentType="application/vnd.ms-excel.comment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5.xml" ContentType="application/vnd.openxmlformats-officedocument.drawing+xml"/>
  <Override PartName="/xl/slicers/slicer3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slicers/slicer4.bin" ContentType="application/vnd.ms-excel.slicer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bin"/><Relationship Id="rId18" Type="http://schemas.microsoft.com/office/2007/relationships/slicerCache" Target="slicerCaches/slicerCache7.bin"/><Relationship Id="rId26" Type="http://schemas.microsoft.com/office/2007/relationships/slicerCache" Target="slicerCaches/slicerCache15.bin"/><Relationship Id="rId39" Type="http://schemas.microsoft.com/office/2007/relationships/slicerCache" Target="slicerCaches/slicerCache28.bin"/><Relationship Id="rId21" Type="http://schemas.microsoft.com/office/2007/relationships/slicerCache" Target="slicerCaches/slicerCache10.bin"/><Relationship Id="rId34" Type="http://schemas.microsoft.com/office/2007/relationships/slicerCache" Target="slicerCaches/slicerCache23.bin"/><Relationship Id="rId42" Type="http://schemas.microsoft.com/office/2007/relationships/slicerCache" Target="slicerCaches/slicerCache31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microsoft.com/office/2007/relationships/slicerCache" Target="slicerCaches/slicerCache5.bin"/><Relationship Id="rId29" Type="http://schemas.microsoft.com/office/2007/relationships/slicerCache" Target="slicerCaches/slicerCache18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microsoft.com/office/2007/relationships/slicerCache" Target="slicerCaches/slicerCache13.bin"/><Relationship Id="rId32" Type="http://schemas.microsoft.com/office/2007/relationships/slicerCache" Target="slicerCaches/slicerCache21.bin"/><Relationship Id="rId37" Type="http://schemas.microsoft.com/office/2007/relationships/slicerCache" Target="slicerCaches/slicerCache26.bin"/><Relationship Id="rId40" Type="http://schemas.microsoft.com/office/2007/relationships/slicerCache" Target="slicerCaches/slicerCache29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7/relationships/slicerCache" Target="slicerCaches/slicerCache4.bin"/><Relationship Id="rId23" Type="http://schemas.microsoft.com/office/2007/relationships/slicerCache" Target="slicerCaches/slicerCache12.bin"/><Relationship Id="rId28" Type="http://schemas.microsoft.com/office/2007/relationships/slicerCache" Target="slicerCaches/slicerCache17.bin"/><Relationship Id="rId36" Type="http://schemas.microsoft.com/office/2007/relationships/slicerCache" Target="slicerCaches/slicerCache25.bin"/><Relationship Id="rId10" Type="http://schemas.openxmlformats.org/officeDocument/2006/relationships/pivotCacheDefinition" Target="pivotCache/pivotCacheDefinition1.bin"/><Relationship Id="rId19" Type="http://schemas.microsoft.com/office/2007/relationships/slicerCache" Target="slicerCaches/slicerCache8.bin"/><Relationship Id="rId31" Type="http://schemas.microsoft.com/office/2007/relationships/slicerCache" Target="slicerCaches/slicerCache20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3.bin"/><Relationship Id="rId22" Type="http://schemas.microsoft.com/office/2007/relationships/slicerCache" Target="slicerCaches/slicerCache11.bin"/><Relationship Id="rId27" Type="http://schemas.microsoft.com/office/2007/relationships/slicerCache" Target="slicerCaches/slicerCache16.bin"/><Relationship Id="rId30" Type="http://schemas.microsoft.com/office/2007/relationships/slicerCache" Target="slicerCaches/slicerCache19.bin"/><Relationship Id="rId35" Type="http://schemas.microsoft.com/office/2007/relationships/slicerCache" Target="slicerCaches/slicerCache24.bin"/><Relationship Id="rId43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microsoft.com/office/2007/relationships/slicerCache" Target="slicerCaches/slicerCache1.bin"/><Relationship Id="rId17" Type="http://schemas.microsoft.com/office/2007/relationships/slicerCache" Target="slicerCaches/slicerCache6.bin"/><Relationship Id="rId25" Type="http://schemas.microsoft.com/office/2007/relationships/slicerCache" Target="slicerCaches/slicerCache14.bin"/><Relationship Id="rId33" Type="http://schemas.microsoft.com/office/2007/relationships/slicerCache" Target="slicerCaches/slicerCache22.bin"/><Relationship Id="rId38" Type="http://schemas.microsoft.com/office/2007/relationships/slicerCache" Target="slicerCaches/slicerCache27.bin"/><Relationship Id="rId46" Type="http://schemas.microsoft.com/office/2006/relationships/vbaProject" Target="vbaProject.bin"/><Relationship Id="rId20" Type="http://schemas.microsoft.com/office/2007/relationships/slicerCache" Target="slicerCaches/slicerCache9.bin"/><Relationship Id="rId41" Type="http://schemas.microsoft.com/office/2007/relationships/slicerCache" Target="slicerCaches/slicerCache30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[макрос_FBLXH_23.01.2020.xlsb]Свод_Покупатели!Покуп/регионы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baseline="0">
                <a:effectLst/>
              </a:rPr>
              <a:t>По регионам, %</a:t>
            </a:r>
            <a:endParaRPr lang="ru-R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Свод_Покупатели!$B$4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4D-4C30-9BA1-FB521D88DC1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4D-4C30-9BA1-FB521D88DC1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4D-4C30-9BA1-FB521D88DC1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4D-4C30-9BA1-FB521D88DC1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C4D-4C30-9BA1-FB521D88DC1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C4D-4C30-9BA1-FB521D88DC1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C4D-4C30-9BA1-FB521D88DC1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F7A-49D6-93B3-D3017D46F7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Свод_Покупатели!$A$5:$A$6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Свод_Покупатели!$B$5:$B$6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E-1C4D-4C30-9BA1-FB521D88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205115318032057"/>
          <c:y val="0.28695392242636336"/>
          <c:w val="0.34667225107499855"/>
          <c:h val="0.54687882764654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[макрос_FBLXH_23.01.2020.xlsb]Свод_Покупатели!Покуп/Сроки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срокам возникновения,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Свод_Покупатели!$H$5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DD-4DB7-821C-8B7840C6664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DD-4DB7-821C-8B7840C6664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DD-4DB7-821C-8B7840C6664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DD-4DB7-821C-8B7840C666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Свод_Покупатели!$G$6:$G$7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Свод_Покупатели!$H$6:$H$7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65DD-4DB7-821C-8B7840C66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041014229655773"/>
          <c:y val="0.30344670457859435"/>
          <c:w val="0.40819947736732137"/>
          <c:h val="0.51389326334208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[макрос_FBLXH_23.01.2020.xlsb]Свод_Покупатели!Покуп/Вид дог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статье </a:t>
            </a:r>
            <a:r>
              <a:rPr lang="en-US"/>
              <a:t>WC</a:t>
            </a:r>
            <a:r>
              <a:rPr lang="ru-RU"/>
              <a:t>, тыс.руб.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108616165120789E-2"/>
          <c:y val="0.13577099737532808"/>
          <c:w val="0.42144525368563712"/>
          <c:h val="0.823657407407407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Свод_Покупатели!$N$5</c:f>
              <c:strCache>
                <c:ptCount val="1"/>
                <c:pt idx="0">
                  <c:v>Итог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Свод_Покупатели!$M$6:$M$7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Свод_Покупатели!$N$6:$N$7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C87-47B9-9714-A4CEEBA1A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6495216"/>
        <c:axId val="306495776"/>
      </c:barChart>
      <c:catAx>
        <c:axId val="306495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495776"/>
        <c:crosses val="autoZero"/>
        <c:auto val="1"/>
        <c:lblAlgn val="ctr"/>
        <c:lblOffset val="100"/>
        <c:noMultiLvlLbl val="0"/>
      </c:catAx>
      <c:valAx>
        <c:axId val="306495776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0649521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[макрос_FBLXH_23.01.2020.xlsb]Свод_Покупатели!Покуп/Партнеры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партнерам, тыс.</a:t>
            </a:r>
            <a:r>
              <a:rPr lang="ru-RU" baseline="0"/>
              <a:t> </a:t>
            </a:r>
            <a:r>
              <a:rPr lang="ru-RU"/>
              <a:t>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noFill/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noFill/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Свод_Покупатели!$R$5</c:f>
              <c:strCache>
                <c:ptCount val="1"/>
                <c:pt idx="0">
                  <c:v>Сумма по полю Остаток в ВВ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Свод_Покупатели!$Q$6:$Q$7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Свод_Покупатели!$R$6:$R$7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D9F-484B-B072-B87C9AC1A78F}"/>
            </c:ext>
          </c:extLst>
        </c:ser>
        <c:ser>
          <c:idx val="1"/>
          <c:order val="1"/>
          <c:tx>
            <c:strRef>
              <c:f>Свод_Покупатели!$S$5</c:f>
              <c:strCache>
                <c:ptCount val="1"/>
                <c:pt idx="0">
                  <c:v>Сумма по полю Поле1</c:v>
                </c:pt>
              </c:strCache>
            </c:strRef>
          </c:tx>
          <c:spPr>
            <a:noFill/>
            <a:ln w="9525" cap="flat" cmpd="sng" algn="ctr">
              <a:noFill/>
              <a:round/>
            </a:ln>
            <a:effectLst/>
          </c:spPr>
          <c:invertIfNegative val="0"/>
          <c:cat>
            <c:strRef>
              <c:f>Свод_Покупатели!$Q$6:$Q$7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Свод_Покупатели!$S$6:$S$7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A-4719-8571-751F5EE2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06498576"/>
        <c:axId val="306499136"/>
      </c:barChart>
      <c:catAx>
        <c:axId val="30649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499136"/>
        <c:crosses val="autoZero"/>
        <c:auto val="1"/>
        <c:lblAlgn val="ctr"/>
        <c:lblOffset val="100"/>
        <c:noMultiLvlLbl val="0"/>
      </c:catAx>
      <c:valAx>
        <c:axId val="306499136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30649857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[макрос_FBLXH_23.01.2020.xlsb]Свод_Покупатели!отклПокуп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задолженности</a:t>
            </a:r>
            <a:r>
              <a:rPr lang="ru-RU" baseline="0"/>
              <a:t> по Регионам в разрезе сроков возникновения, тыс.руб.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Свод_Покупатели!$W$4:$W$5</c:f>
              <c:strCache>
                <c:ptCount val="1"/>
                <c:pt idx="0">
                  <c:v>(пусто)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Свод_Покупатели!$U$6:$V$7</c:f>
              <c:multiLvlStrCache>
                <c:ptCount val="1"/>
                <c:lvl>
                  <c:pt idx="0">
                    <c:v>(пусто)</c:v>
                  </c:pt>
                </c:lvl>
                <c:lvl>
                  <c:pt idx="0">
                    <c:v>(пусто)</c:v>
                  </c:pt>
                </c:lvl>
              </c:multiLvlStrCache>
            </c:multiLvlStrRef>
          </c:cat>
          <c:val>
            <c:numRef>
              <c:f>Свод_Покупатели!$W$6:$W$7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89F-4D29-ABB4-7F741169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06501376"/>
        <c:axId val="306501936"/>
      </c:barChart>
      <c:catAx>
        <c:axId val="30650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501936"/>
        <c:crosses val="autoZero"/>
        <c:auto val="1"/>
        <c:lblAlgn val="ctr"/>
        <c:lblOffset val="100"/>
        <c:noMultiLvlLbl val="0"/>
      </c:catAx>
      <c:valAx>
        <c:axId val="30650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501376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[макрос_FBLXH_23.01.2020.xlsb]Свод_Поставщики!Поставщ/регионы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baseline="0">
                <a:effectLst/>
              </a:rPr>
              <a:t>По регионам, %</a:t>
            </a:r>
            <a:endParaRPr lang="ru-RU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5804377663801192E-2"/>
          <c:y val="0.22021835812190146"/>
          <c:w val="0.52782473619368997"/>
          <c:h val="0.62862459900845724"/>
        </c:manualLayout>
      </c:layout>
      <c:doughnutChart>
        <c:varyColors val="1"/>
        <c:ser>
          <c:idx val="0"/>
          <c:order val="0"/>
          <c:tx>
            <c:strRef>
              <c:f>Свод_Поставщики!$B$4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7A-4F91-B4E8-83A60473099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47A-4F91-B4E8-83A60473099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47A-4F91-B4E8-83A60473099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47A-4F91-B4E8-83A60473099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47A-4F91-B4E8-83A60473099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47A-4F91-B4E8-83A60473099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47A-4F91-B4E8-83A6047309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Свод_Поставщики!$A$5:$A$6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Свод_Поставщики!$B$5:$B$6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E-F47A-4F91-B4E8-83A604730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279033998301236"/>
          <c:y val="0.30547244094488191"/>
          <c:w val="0.35542771439284376"/>
          <c:h val="0.54687882764654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[макрос_FBLXH_23.01.2020.xlsb]Свод_Поставщики!Поставщ/Срок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baseline="0">
                <a:effectLst/>
              </a:rPr>
              <a:t>По срокам возникновения, %</a:t>
            </a:r>
            <a:endParaRPr lang="ru-RU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4.1698977383493603E-2"/>
          <c:y val="0.23592300962379703"/>
          <c:w val="0.53221227850198138"/>
          <c:h val="0.61721821230679497"/>
        </c:manualLayout>
      </c:layout>
      <c:doughnutChart>
        <c:varyColors val="1"/>
        <c:ser>
          <c:idx val="0"/>
          <c:order val="0"/>
          <c:tx>
            <c:strRef>
              <c:f>Свод_Поставщики!$H$4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4D-45D9-B13D-ED3B502B504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4D-45D9-B13D-ED3B502B504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4D-45D9-B13D-ED3B502B504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4D-45D9-B13D-ED3B502B50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Свод_Поставщики!$G$5:$G$6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Свод_Поставщики!$H$5:$H$6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4D-45D9-B13D-ED3B502B5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37443455590695"/>
          <c:y val="0.38099409448818899"/>
          <c:w val="0.40958913970142852"/>
          <c:h val="0.335650335374744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[макрос_FBLXH_23.01.2020.xlsb]Свод_Поставщики!Поставщ/вид дог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baseline="0">
                <a:effectLst/>
              </a:rPr>
              <a:t>По статье </a:t>
            </a:r>
            <a:r>
              <a:rPr lang="en-US" sz="1400" b="0" i="0" baseline="0">
                <a:effectLst/>
              </a:rPr>
              <a:t>WC</a:t>
            </a:r>
            <a:r>
              <a:rPr lang="ru-RU" sz="1400" b="0" i="0" baseline="0">
                <a:effectLst/>
              </a:rPr>
              <a:t>, тыс.руб.</a:t>
            </a:r>
            <a:endParaRPr lang="ru-RU" sz="14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Свод_Поставщики!$N$4</c:f>
              <c:strCache>
                <c:ptCount val="1"/>
                <c:pt idx="0">
                  <c:v>Итог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Свод_Поставщики!$M$5:$M$6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Свод_Поставщики!$N$5:$N$6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C5B-4C38-90DD-75AB8FDAB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06509216"/>
        <c:axId val="303547600"/>
      </c:barChart>
      <c:catAx>
        <c:axId val="306509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3547600"/>
        <c:crosses val="autoZero"/>
        <c:auto val="1"/>
        <c:lblAlgn val="ctr"/>
        <c:lblOffset val="100"/>
        <c:noMultiLvlLbl val="0"/>
      </c:catAx>
      <c:valAx>
        <c:axId val="30354760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306509216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[макрос_FBLXH_23.01.2020.xlsb]Свод_Поставщики!Поставщ/партнер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 партнерам, тыс. руб.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noFill/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noFill/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Свод_Поставщики!$T$4</c:f>
              <c:strCache>
                <c:ptCount val="1"/>
                <c:pt idx="0">
                  <c:v>Сумма по полю Остаток в ВВ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Свод_Поставщики!$S$5:$S$6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Свод_Поставщики!$T$5:$T$6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8F32-4F22-BBF4-81FA8A1122E9}"/>
            </c:ext>
          </c:extLst>
        </c:ser>
        <c:ser>
          <c:idx val="1"/>
          <c:order val="1"/>
          <c:tx>
            <c:strRef>
              <c:f>Свод_Поставщики!$U$4</c:f>
              <c:strCache>
                <c:ptCount val="1"/>
                <c:pt idx="0">
                  <c:v>Сумма по полю Поле2</c:v>
                </c:pt>
              </c:strCache>
            </c:strRef>
          </c:tx>
          <c:spPr>
            <a:noFill/>
            <a:ln w="9525" cap="flat" cmpd="sng" algn="ctr">
              <a:noFill/>
              <a:round/>
            </a:ln>
            <a:effectLst/>
          </c:spPr>
          <c:invertIfNegative val="0"/>
          <c:cat>
            <c:strRef>
              <c:f>Свод_Поставщики!$S$5:$S$6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Свод_Поставщики!$U$5:$U$6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0D-4965-8447-B9A043A3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07860864"/>
        <c:axId val="307861424"/>
      </c:barChart>
      <c:catAx>
        <c:axId val="30786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861424"/>
        <c:crosses val="autoZero"/>
        <c:auto val="1"/>
        <c:lblAlgn val="ctr"/>
        <c:lblOffset val="100"/>
        <c:noMultiLvlLbl val="0"/>
      </c:catAx>
      <c:valAx>
        <c:axId val="307861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07860864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[макрос_FBLXH_23.01.2020.xlsb]Свод_Поставщики!отклПоставщ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задолженности</a:t>
            </a:r>
            <a:r>
              <a:rPr lang="ru-RU" baseline="0"/>
              <a:t> по Регионам в разрезе сроков возникновения, тыс.руб.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Свод_Поставщики!$AA$4:$AA$5</c:f>
              <c:strCache>
                <c:ptCount val="1"/>
                <c:pt idx="0">
                  <c:v>(пусто)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Свод_Поставщики!$Y$6:$Z$7</c:f>
              <c:multiLvlStrCache>
                <c:ptCount val="1"/>
                <c:lvl>
                  <c:pt idx="0">
                    <c:v>(пусто)</c:v>
                  </c:pt>
                </c:lvl>
                <c:lvl>
                  <c:pt idx="0">
                    <c:v>(пусто)</c:v>
                  </c:pt>
                </c:lvl>
              </c:multiLvlStrCache>
            </c:multiLvlStrRef>
          </c:cat>
          <c:val>
            <c:numRef>
              <c:f>Свод_Поставщики!$AA$6:$AA$7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8AC-4383-B352-792AF712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07863664"/>
        <c:axId val="307864224"/>
      </c:barChart>
      <c:catAx>
        <c:axId val="30786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864224"/>
        <c:crosses val="autoZero"/>
        <c:auto val="1"/>
        <c:lblAlgn val="ctr"/>
        <c:lblOffset val="100"/>
        <c:noMultiLvlLbl val="0"/>
      </c:catAx>
      <c:valAx>
        <c:axId val="30786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78636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57150</xdr:rowOff>
        </xdr:from>
        <xdr:to>
          <xdr:col>2</xdr:col>
          <xdr:colOff>161925</xdr:colOff>
          <xdr:row>3</xdr:row>
          <xdr:rowOff>171450</xdr:rowOff>
        </xdr:to>
        <xdr:graphicFrame macro="[0]!start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35</xdr:col>
      <xdr:colOff>142876</xdr:colOff>
      <xdr:row>11</xdr:row>
      <xdr:rowOff>428625</xdr:rowOff>
    </xdr:from>
    <xdr:to>
      <xdr:col>43</xdr:col>
      <xdr:colOff>473203</xdr:colOff>
      <xdr:row>33</xdr:row>
      <xdr:rowOff>161925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26626" y="3333750"/>
          <a:ext cx="5207127" cy="5981700"/>
        </a:xfrm>
        <a:prstGeom prst="rect">
          <a:avLst/>
        </a:prstGeom>
      </xdr:spPr>
    </xdr:pic>
    <xdr:clientData/>
  </xdr:twoCellAnchor>
  <xdr:twoCellAnchor editAs="oneCell">
    <xdr:from>
      <xdr:col>43</xdr:col>
      <xdr:colOff>523875</xdr:colOff>
      <xdr:row>11</xdr:row>
      <xdr:rowOff>390525</xdr:rowOff>
    </xdr:from>
    <xdr:to>
      <xdr:col>55</xdr:col>
      <xdr:colOff>18199</xdr:colOff>
      <xdr:row>24</xdr:row>
      <xdr:rowOff>37601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84425" y="3295650"/>
          <a:ext cx="6809524" cy="39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57149</xdr:rowOff>
        </xdr:from>
        <xdr:to>
          <xdr:col>4</xdr:col>
          <xdr:colOff>447675</xdr:colOff>
          <xdr:row>3</xdr:row>
          <xdr:rowOff>66674</xdr:rowOff>
        </xdr:to>
        <xdr:graphicFrame macro="[0]!KA_list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19050</xdr:colOff>
      <xdr:row>18</xdr:row>
      <xdr:rowOff>180975</xdr:rowOff>
    </xdr:from>
    <xdr:to>
      <xdr:col>7</xdr:col>
      <xdr:colOff>191060</xdr:colOff>
      <xdr:row>22</xdr:row>
      <xdr:rowOff>180975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7058025"/>
          <a:ext cx="463923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1104900</xdr:colOff>
      <xdr:row>0</xdr:row>
      <xdr:rowOff>0</xdr:rowOff>
    </xdr:from>
    <xdr:to>
      <xdr:col>10</xdr:col>
      <xdr:colOff>657225</xdr:colOff>
      <xdr:row>23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Наименование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именовани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15450" y="0"/>
              <a:ext cx="2486025" cy="438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0</xdr:row>
      <xdr:rowOff>19050</xdr:rowOff>
    </xdr:from>
    <xdr:to>
      <xdr:col>14</xdr:col>
      <xdr:colOff>561975</xdr:colOff>
      <xdr:row>23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Наименование вида договора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именование вида договор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19050"/>
              <a:ext cx="2686050" cy="4362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485774</xdr:colOff>
      <xdr:row>0</xdr:row>
      <xdr:rowOff>28575</xdr:rowOff>
    </xdr:from>
    <xdr:to>
      <xdr:col>6</xdr:col>
      <xdr:colOff>914399</xdr:colOff>
      <xdr:row>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Поставщики/покупатели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ставщики/покупател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8074" y="28575"/>
              <a:ext cx="3209925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447674</xdr:colOff>
      <xdr:row>5</xdr:row>
      <xdr:rowOff>28574</xdr:rowOff>
    </xdr:from>
    <xdr:to>
      <xdr:col>6</xdr:col>
      <xdr:colOff>914400</xdr:colOff>
      <xdr:row>15</xdr:row>
      <xdr:rowOff>114299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Комментарий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омментари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9974" y="981074"/>
              <a:ext cx="3248026" cy="1990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10</xdr:row>
          <xdr:rowOff>0</xdr:rowOff>
        </xdr:from>
        <xdr:to>
          <xdr:col>16</xdr:col>
          <xdr:colOff>742950</xdr:colOff>
          <xdr:row>12</xdr:row>
          <xdr:rowOff>19050</xdr:rowOff>
        </xdr:to>
        <xdr:graphicFrame macro="[0]!check_status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28576</xdr:rowOff>
    </xdr:from>
    <xdr:to>
      <xdr:col>4</xdr:col>
      <xdr:colOff>428624</xdr:colOff>
      <xdr:row>6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Регион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8576"/>
              <a:ext cx="3590924" cy="1200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962024</xdr:colOff>
      <xdr:row>0</xdr:row>
      <xdr:rowOff>0</xdr:rowOff>
    </xdr:from>
    <xdr:to>
      <xdr:col>8</xdr:col>
      <xdr:colOff>1066799</xdr:colOff>
      <xdr:row>23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Ответственный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05624" y="0"/>
              <a:ext cx="2371725" cy="4400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6</xdr:row>
      <xdr:rowOff>104776</xdr:rowOff>
    </xdr:from>
    <xdr:to>
      <xdr:col>1</xdr:col>
      <xdr:colOff>990600</xdr:colOff>
      <xdr:row>12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Функция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257301"/>
              <a:ext cx="169545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6</xdr:row>
      <xdr:rowOff>104775</xdr:rowOff>
    </xdr:from>
    <xdr:to>
      <xdr:col>4</xdr:col>
      <xdr:colOff>409575</xdr:colOff>
      <xdr:row>13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ДЗ-КЗ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З-К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1175" y="1257300"/>
              <a:ext cx="1790700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13</xdr:row>
      <xdr:rowOff>28575</xdr:rowOff>
    </xdr:from>
    <xdr:to>
      <xdr:col>4</xdr:col>
      <xdr:colOff>409575</xdr:colOff>
      <xdr:row>21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убрегион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убрегион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524125"/>
              <a:ext cx="3533775" cy="1628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438149</xdr:colOff>
      <xdr:row>15</xdr:row>
      <xdr:rowOff>123826</xdr:rowOff>
    </xdr:from>
    <xdr:to>
      <xdr:col>6</xdr:col>
      <xdr:colOff>962024</xdr:colOff>
      <xdr:row>22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Период 2 (от текущей даты выгрузки, дн.)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2 (от текущей даты выгрузки, дн.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00449" y="3000376"/>
              <a:ext cx="3305175" cy="1314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47624</xdr:colOff>
      <xdr:row>0</xdr:row>
      <xdr:rowOff>38101</xdr:rowOff>
    </xdr:from>
    <xdr:to>
      <xdr:col>2</xdr:col>
      <xdr:colOff>904875</xdr:colOff>
      <xdr:row>8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Регион 3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4" y="38101"/>
              <a:ext cx="2867026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190500</xdr:colOff>
      <xdr:row>0</xdr:row>
      <xdr:rowOff>57150</xdr:rowOff>
    </xdr:from>
    <xdr:to>
      <xdr:col>13</xdr:col>
      <xdr:colOff>333376</xdr:colOff>
      <xdr:row>17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Наименование 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именование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91675" y="57150"/>
              <a:ext cx="2581276" cy="3286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371474</xdr:colOff>
      <xdr:row>0</xdr:row>
      <xdr:rowOff>47624</xdr:rowOff>
    </xdr:from>
    <xdr:to>
      <xdr:col>9</xdr:col>
      <xdr:colOff>133350</xdr:colOff>
      <xdr:row>9</xdr:row>
      <xdr:rowOff>57149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Операции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Операци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57749" y="47624"/>
              <a:ext cx="4676776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9525</xdr:colOff>
      <xdr:row>0</xdr:row>
      <xdr:rowOff>28575</xdr:rowOff>
    </xdr:from>
    <xdr:to>
      <xdr:col>4</xdr:col>
      <xdr:colOff>304800</xdr:colOff>
      <xdr:row>8</xdr:row>
      <xdr:rowOff>66674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Канал Продаж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анал Продаж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1800" y="28575"/>
              <a:ext cx="1819275" cy="1562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942975</xdr:colOff>
      <xdr:row>8</xdr:row>
      <xdr:rowOff>123826</xdr:rowOff>
    </xdr:from>
    <xdr:to>
      <xdr:col>4</xdr:col>
      <xdr:colOff>295275</xdr:colOff>
      <xdr:row>14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ДЗ-КЗ 3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З-КЗ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52750" y="1647826"/>
              <a:ext cx="1828800" cy="1123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8</xdr:row>
      <xdr:rowOff>104776</xdr:rowOff>
    </xdr:from>
    <xdr:to>
      <xdr:col>2</xdr:col>
      <xdr:colOff>876299</xdr:colOff>
      <xdr:row>14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Поставщики/покупатели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ставщики/покупатели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628776"/>
              <a:ext cx="2847975" cy="10763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371475</xdr:colOff>
      <xdr:row>0</xdr:row>
      <xdr:rowOff>57151</xdr:rowOff>
    </xdr:from>
    <xdr:to>
      <xdr:col>22</xdr:col>
      <xdr:colOff>409575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Функция 3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59050" y="57151"/>
              <a:ext cx="2476500" cy="1409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380999</xdr:colOff>
      <xdr:row>0</xdr:row>
      <xdr:rowOff>66675</xdr:rowOff>
    </xdr:from>
    <xdr:to>
      <xdr:col>18</xdr:col>
      <xdr:colOff>314324</xdr:colOff>
      <xdr:row>17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Ответственный за монобренд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за монобрен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20574" y="66675"/>
              <a:ext cx="2981325" cy="3248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371475</xdr:colOff>
      <xdr:row>9</xdr:row>
      <xdr:rowOff>95252</xdr:rowOff>
    </xdr:from>
    <xdr:to>
      <xdr:col>6</xdr:col>
      <xdr:colOff>171450</xdr:colOff>
      <xdr:row>18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Период выгрузки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выгруз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57750" y="1809752"/>
              <a:ext cx="2200275" cy="1666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9525</xdr:colOff>
      <xdr:row>0</xdr:row>
      <xdr:rowOff>28575</xdr:rowOff>
    </xdr:from>
    <xdr:to>
      <xdr:col>83</xdr:col>
      <xdr:colOff>1619250</xdr:colOff>
      <xdr:row>0</xdr:row>
      <xdr:rowOff>523875</xdr:rowOff>
    </xdr:to>
    <xdr:sp macro="[0]!Accrual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7343000" y="28575"/>
          <a:ext cx="1609725" cy="4953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Аккруалы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</xdr:row>
      <xdr:rowOff>47625</xdr:rowOff>
    </xdr:from>
    <xdr:to>
      <xdr:col>5</xdr:col>
      <xdr:colOff>533400</xdr:colOff>
      <xdr:row>16</xdr:row>
      <xdr:rowOff>123825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104775</xdr:colOff>
      <xdr:row>2</xdr:row>
      <xdr:rowOff>47625</xdr:rowOff>
    </xdr:from>
    <xdr:to>
      <xdr:col>23</xdr:col>
      <xdr:colOff>9524</xdr:colOff>
      <xdr:row>16</xdr:row>
      <xdr:rowOff>123825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2</xdr:row>
      <xdr:rowOff>47625</xdr:rowOff>
    </xdr:from>
    <xdr:to>
      <xdr:col>17</xdr:col>
      <xdr:colOff>38099</xdr:colOff>
      <xdr:row>16</xdr:row>
      <xdr:rowOff>123825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238124</xdr:colOff>
      <xdr:row>16</xdr:row>
      <xdr:rowOff>171450</xdr:rowOff>
    </xdr:from>
    <xdr:to>
      <xdr:col>22</xdr:col>
      <xdr:colOff>609599</xdr:colOff>
      <xdr:row>38</xdr:row>
      <xdr:rowOff>47625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38</xdr:row>
      <xdr:rowOff>114300</xdr:rowOff>
    </xdr:from>
    <xdr:to>
      <xdr:col>22</xdr:col>
      <xdr:colOff>590550</xdr:colOff>
      <xdr:row>63</xdr:row>
      <xdr:rowOff>57149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23</xdr:col>
      <xdr:colOff>66674</xdr:colOff>
      <xdr:row>15</xdr:row>
      <xdr:rowOff>66675</xdr:rowOff>
    </xdr:from>
    <xdr:to>
      <xdr:col>27</xdr:col>
      <xdr:colOff>0</xdr:colOff>
      <xdr:row>28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Регион 1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87474" y="3000375"/>
              <a:ext cx="2371726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76199</xdr:colOff>
      <xdr:row>2</xdr:row>
      <xdr:rowOff>95250</xdr:rowOff>
    </xdr:from>
    <xdr:to>
      <xdr:col>30</xdr:col>
      <xdr:colOff>342900</xdr:colOff>
      <xdr:row>48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Ответственный 1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35399" y="552450"/>
              <a:ext cx="2095501" cy="870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66674</xdr:colOff>
      <xdr:row>2</xdr:row>
      <xdr:rowOff>76201</xdr:rowOff>
    </xdr:from>
    <xdr:to>
      <xdr:col>24</xdr:col>
      <xdr:colOff>514350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ДЗ-КЗ 1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З-КЗ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87474" y="533401"/>
              <a:ext cx="1057276" cy="1095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85724</xdr:colOff>
      <xdr:row>28</xdr:row>
      <xdr:rowOff>133350</xdr:rowOff>
    </xdr:from>
    <xdr:to>
      <xdr:col>27</xdr:col>
      <xdr:colOff>0</xdr:colOff>
      <xdr:row>40</xdr:row>
      <xdr:rowOff>171449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Период (мес.)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(мес.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06524" y="5543550"/>
              <a:ext cx="2352676" cy="2324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76199</xdr:colOff>
      <xdr:row>8</xdr:row>
      <xdr:rowOff>114301</xdr:rowOff>
    </xdr:from>
    <xdr:to>
      <xdr:col>26</xdr:col>
      <xdr:colOff>600074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Функция 1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96999" y="1714501"/>
              <a:ext cx="2352675" cy="12382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561974</xdr:colOff>
      <xdr:row>2</xdr:row>
      <xdr:rowOff>85725</xdr:rowOff>
    </xdr:from>
    <xdr:to>
      <xdr:col>26</xdr:col>
      <xdr:colOff>590549</xdr:colOff>
      <xdr:row>8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Связанные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вязанны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92374" y="542925"/>
              <a:ext cx="1247775" cy="1076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2</xdr:row>
      <xdr:rowOff>123825</xdr:rowOff>
    </xdr:from>
    <xdr:to>
      <xdr:col>5</xdr:col>
      <xdr:colOff>352425</xdr:colOff>
      <xdr:row>17</xdr:row>
      <xdr:rowOff>9525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419100</xdr:colOff>
      <xdr:row>2</xdr:row>
      <xdr:rowOff>133350</xdr:rowOff>
    </xdr:from>
    <xdr:to>
      <xdr:col>22</xdr:col>
      <xdr:colOff>552449</xdr:colOff>
      <xdr:row>17</xdr:row>
      <xdr:rowOff>19050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409575</xdr:colOff>
      <xdr:row>2</xdr:row>
      <xdr:rowOff>133350</xdr:rowOff>
    </xdr:from>
    <xdr:to>
      <xdr:col>17</xdr:col>
      <xdr:colOff>361950</xdr:colOff>
      <xdr:row>17</xdr:row>
      <xdr:rowOff>19050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142875</xdr:colOff>
      <xdr:row>17</xdr:row>
      <xdr:rowOff>76200</xdr:rowOff>
    </xdr:from>
    <xdr:to>
      <xdr:col>22</xdr:col>
      <xdr:colOff>561975</xdr:colOff>
      <xdr:row>38</xdr:row>
      <xdr:rowOff>19050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190500</xdr:colOff>
      <xdr:row>38</xdr:row>
      <xdr:rowOff>104774</xdr:rowOff>
    </xdr:from>
    <xdr:to>
      <xdr:col>22</xdr:col>
      <xdr:colOff>561975</xdr:colOff>
      <xdr:row>63</xdr:row>
      <xdr:rowOff>133349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23</xdr:col>
      <xdr:colOff>19050</xdr:colOff>
      <xdr:row>15</xdr:row>
      <xdr:rowOff>57150</xdr:rowOff>
    </xdr:from>
    <xdr:to>
      <xdr:col>27</xdr:col>
      <xdr:colOff>19050</xdr:colOff>
      <xdr:row>31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Регион 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гион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39850" y="2990850"/>
              <a:ext cx="243840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66675</xdr:colOff>
      <xdr:row>3</xdr:row>
      <xdr:rowOff>0</xdr:rowOff>
    </xdr:from>
    <xdr:to>
      <xdr:col>31</xdr:col>
      <xdr:colOff>219075</xdr:colOff>
      <xdr:row>47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Ответственный 2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25875" y="647700"/>
              <a:ext cx="2590800" cy="8553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28575</xdr:colOff>
      <xdr:row>2</xdr:row>
      <xdr:rowOff>142876</xdr:rowOff>
    </xdr:from>
    <xdr:to>
      <xdr:col>24</xdr:col>
      <xdr:colOff>504825</xdr:colOff>
      <xdr:row>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ДЗ-КЗ 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З-КЗ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9375" y="600076"/>
              <a:ext cx="1085850" cy="1066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19050</xdr:colOff>
      <xdr:row>32</xdr:row>
      <xdr:rowOff>57150</xdr:rowOff>
    </xdr:from>
    <xdr:to>
      <xdr:col>27</xdr:col>
      <xdr:colOff>0</xdr:colOff>
      <xdr:row>47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Период (мес.) 1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ериод (мес.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39850" y="6229350"/>
              <a:ext cx="2419350" cy="2981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28574</xdr:colOff>
      <xdr:row>8</xdr:row>
      <xdr:rowOff>123825</xdr:rowOff>
    </xdr:from>
    <xdr:to>
      <xdr:col>27</xdr:col>
      <xdr:colOff>38099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Функция 2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ункция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9374" y="1724025"/>
              <a:ext cx="2447925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571498</xdr:colOff>
      <xdr:row>2</xdr:row>
      <xdr:rowOff>133350</xdr:rowOff>
    </xdr:from>
    <xdr:to>
      <xdr:col>26</xdr:col>
      <xdr:colOff>609599</xdr:colOff>
      <xdr:row>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Связанные 1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вязанные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01898" y="590550"/>
              <a:ext cx="1257301" cy="1076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TEL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8C3F5"/>
      </a:accent1>
      <a:accent2>
        <a:srgbClr val="D24B91"/>
      </a:accent2>
      <a:accent3>
        <a:srgbClr val="5AC3B4"/>
      </a:accent3>
      <a:accent4>
        <a:srgbClr val="EB6446"/>
      </a:accent4>
      <a:accent5>
        <a:srgbClr val="F5961E"/>
      </a:accent5>
      <a:accent6>
        <a:srgbClr val="A5CD3C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../&#1047;&#1072;&#1103;&#1074;&#1082;&#1080;,%20&#1069;&#1044;&#1040;%20&#1076;&#1083;&#1103;%20&#1044;&#1047;%20&#1050;&#1047;/2019/" TargetMode="External"/><Relationship Id="rId13" Type="http://schemas.openxmlformats.org/officeDocument/2006/relationships/hyperlink" Target="..\..\..\&#1057;&#1087;&#1088;&#1072;&#1074;&#1086;&#1095;&#1085;&#1099;&#1077;%20&#1084;&#1072;&#1090;&#1077;&#1088;&#1080;&#1072;&#1083;&#1099;\&#1057;&#1087;&#1088;&#1072;&#1074;&#1086;&#1095;&#1085;&#1080;&#1082;&#1080;%20&#1076;&#1083;&#1103;%20&#1084;&#1072;&#1082;&#1088;&#1086;&#1089;&#1086;&#1074;\" TargetMode="External"/><Relationship Id="rId18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0;&#1089;&#1086;&#1082;%20&#1089;&#1086;&#1090;&#1088;&#1091;&#1076;&#1085;&#1080;&#1082;&#1086;&#1074;%20&#1087;&#1086;%20&#1086;&#1082;&#1088;&#1091;&#1075;&#1072;&#1084;%20&#1041;&#1045;3780%20&#1080;%202780.xlsx" TargetMode="External"/><Relationship Id="rId3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" TargetMode="External"/><Relationship Id="rId21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91;&#1073;&#1088;&#1077;&#1075;&#1080;&#1086;&#1085;%20&#1062;&#1060;.xlsx" TargetMode="External"/><Relationship Id="rId7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5;&#1086;&#1083;&#1085;&#1099;&#1081;%20&#1089;&#1087;&#1080;&#1089;&#1086;&#1082;%20&#1050;&#1040;%20&#1087;&#1088;&#1086;&#1077;&#1082;&#1090;&#1072;%20&#1061;&#1074;&#1086;&#1089;&#1090;&#1099;_&#1074;&#1089;&#1077;%20&#1052;&#1056;.xlsx" TargetMode="External"/><Relationship Id="rId1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8;&#1072;&#1074;&#1086;&#1095;&#1085;&#1080;&#1082;%20&#1086;&#1090;%20&#1062;&#1054;&#1055;%20CF.xlsx" TargetMode="External"/><Relationship Id="rId17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0;&#1040;%20&#1087;&#1086;%20&#1089;&#1091;&#1073;&#1088;&#1077;&#1075;&#1080;&#1086;&#1085;&#1072;&#1084;%20&#1052;&#1057;&#1050;.xlsx" TargetMode="External"/><Relationship Id="rId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.xlsb" TargetMode="External"/><Relationship Id="rId1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23.07.19%20&#1089;&#1087;&#1080;&#1089;&#1086;&#1082;%20&#1050;&#1040;_&#1056;&#1086;&#1089;&#1087;&#1088;&#1080;&#1088;&#1086;&#1076;&#1085;&#1072;&#1076;&#1079;&#1086;&#1088;.xlsx" TargetMode="External"/><Relationship Id="rId20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0;&#1089;&#1086;&#1082;%20&#1089;&#1074;&#1103;&#1079;&#1072;&#1085;.&#1089;&#1090;&#1086;&#1088;&#1086;&#1085;_&#1056;&#1057;&#1041;&#1059;_%2030.09.2019.xlsx" TargetMode="External"/><Relationship Id="rId1" Type="http://schemas.microsoft.com/office/2006/relationships/xlBinaryIndex" Target="binaryIndex2.bin"/><Relationship Id="rId6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1;&#1080;&#1082;&#1074;&#1080;&#1076;&#1080;&#1088;&#1086;&#1074;&#1072;&#1085;&#1085;&#1099;&#1077;%20&#1050;&#1040;.xlsx" TargetMode="External"/><Relationship Id="rId11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85;&#1072;&#1087;&#1088;&#1072;&#1074;&#1083;&#1077;&#1085;&#1080;&#1103;%20&#1056;&#1072;&#1089;&#1095;&#1077;&#1090;&#1099;.xlsx" TargetMode="External"/><Relationship Id="rId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7;&#1088;&#1072;&#1074;&#1086;&#1095;&#1085;&#1080;&#1082;%20&#1041;&#1045;%20&#1052;&#1056;.xlsx" TargetMode="External"/><Relationship Id="rId15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&#1099;%20&#1076;&#1086;&#1075;&#1086;&#1074;&#1086;&#1088;&#1086;&#1074;%20&#1087;&#1086;%20&#1060;&#1040;.xlsx" TargetMode="External"/><Relationship Id="rId23" Type="http://schemas.openxmlformats.org/officeDocument/2006/relationships/printerSettings" Target="../printerSettings/printerSettings2.bin"/><Relationship Id="rId10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6;&#1077;&#1077;&#1089;&#1090;&#1088;%20&#1076;&#1086;&#1075;&#1086;&#1074;&#1086;&#1088;&#1086;&#1074;%20&#1072;&#1088;&#1077;&#1085;&#1076;&#1099;%20&#1082;&#1072;&#1085;&#1072;&#1083;&#1086;&#1074;_&#1054;&#1062;&#1054;.xlsx" TargetMode="External"/><Relationship Id="rId19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0;&#1083;&#1072;&#1089;&#1090;&#1077;&#1088;&#1080;&#1079;&#1072;&#1094;&#1080;&#1103;_short.xlsx" TargetMode="External"/><Relationship Id="rId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57;&#1086;&#1090;&#1088;&#1091;&#1076;&#1085;&#1080;&#1082;&#1080;.xlsx" TargetMode="External"/><Relationship Id="rId9" Type="http://schemas.openxmlformats.org/officeDocument/2006/relationships/hyperlink" Target="../&#1040;&#1082;&#1082;&#1088;&#1091;&#1072;&#1083;&#1099;/&#1058;&#1088;&#1072;&#1085;&#1089;&#1058;&#1091;&#1088;.xlsb" TargetMode="External"/><Relationship Id="rId14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62;&#1044;_v9.xlsx" TargetMode="External"/><Relationship Id="rId22" Type="http://schemas.openxmlformats.org/officeDocument/2006/relationships/hyperlink" Target="../../../&#1057;&#1087;&#1088;&#1072;&#1074;&#1086;&#1095;&#1085;&#1099;&#1077;%20&#1084;&#1072;&#1090;&#1077;&#1088;&#1080;&#1072;&#1083;&#1099;/&#1057;&#1087;&#1088;&#1072;&#1074;&#1086;&#1095;&#1085;&#1080;&#1082;&#1080;%20&#1076;&#1083;&#1103;%20&#1084;&#1072;&#1082;&#1088;&#1086;&#1089;&#1086;&#1074;/&#1044;&#1055;&#1053;%20&#1084;&#1080;&#1075;&#1088;&#1072;&#1094;&#1080;&#1103;%20&#1090;&#1077;&#1093;.%20&#1089;&#1082;&#1083;&#1072;&#1076;&#1099;%2020190203.xlsb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microsoft.com/office/2007/relationships/slicer" Target="../slicers/slicer1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microsoft.com/office/2007/relationships/slicer" Target="../slicers/slicer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7.bin.rels><?xml version="1.0" encoding="UTF-8" standalone="yes"?>
<Relationships xmlns="http://schemas.openxmlformats.org/package/2006/relationships"><Relationship Id="rId3" Type="http://schemas.microsoft.com/office/2007/relationships/slicer" Target="../slicers/slicer3.bin"/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4" Type="http://schemas.microsoft.com/office/2007/relationships/slicer" Target="../slicers/slicer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Старт</vt:lpstr>
      <vt:lpstr>настройки</vt:lpstr>
      <vt:lpstr>СВОД</vt:lpstr>
      <vt:lpstr>Свод Буратино</vt:lpstr>
      <vt:lpstr>Данные</vt:lpstr>
      <vt:lpstr>Свод_Покупатели</vt:lpstr>
      <vt:lpstr>Покупатели</vt:lpstr>
      <vt:lpstr>Свод_Поставщики</vt:lpstr>
      <vt:lpstr>Поставщики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Мартемьянов Роман Александрович</dc:creator>
  <cp:lastModifiedBy>Мартемьянов Роман Александрович</cp:lastModifiedBy>
  <dcterms:created xsi:type="dcterms:W3CDTF">2019-03-26T09:52:14Z</dcterms:created>
  <dcterms:modified xsi:type="dcterms:W3CDTF">2020-02-07T05:45:45Z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e16ec248-b54d-4a14-921d-6d43e1870622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